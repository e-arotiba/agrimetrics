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Projects\agrimetrics -  poultry farm operations\excel\"/>
    </mc:Choice>
  </mc:AlternateContent>
  <bookViews>
    <workbookView xWindow="0" yWindow="0" windowWidth="20490" windowHeight="7635" tabRatio="599" activeTab="2"/>
  </bookViews>
  <sheets>
    <sheet name="batch_scorecard" sheetId="1" r:id="rId1"/>
    <sheet name="cost_breakdown" sheetId="2" r:id="rId2"/>
    <sheet name="financials" sheetId="3" r:id="rId3"/>
  </sheets>
  <calcPr calcId="152511"/>
  <pivotCaches>
    <pivotCache cacheId="10" r:id="rId4"/>
  </pivotCaches>
</workbook>
</file>

<file path=xl/calcChain.xml><?xml version="1.0" encoding="utf-8"?>
<calcChain xmlns="http://schemas.openxmlformats.org/spreadsheetml/2006/main">
  <c r="B4" i="1" l="1"/>
  <c r="B5" i="1"/>
  <c r="B6" i="1"/>
</calcChain>
</file>

<file path=xl/sharedStrings.xml><?xml version="1.0" encoding="utf-8"?>
<sst xmlns="http://schemas.openxmlformats.org/spreadsheetml/2006/main" count="206" uniqueCount="45">
  <si>
    <t>batch_id</t>
  </si>
  <si>
    <t>breed_type</t>
  </si>
  <si>
    <t>initial_stock</t>
  </si>
  <si>
    <t>final_weight_kg</t>
  </si>
  <si>
    <t>total_cost_naira</t>
  </si>
  <si>
    <t>cost_per_kg_naira</t>
  </si>
  <si>
    <t>mortality_rate_pct</t>
  </si>
  <si>
    <t>fcr</t>
  </si>
  <si>
    <t>operational_status</t>
  </si>
  <si>
    <t>BATCH-2026-001</t>
  </si>
  <si>
    <t>Cobb 500</t>
  </si>
  <si>
    <t>OPTIMAL</t>
  </si>
  <si>
    <t>BATCH-2026-002</t>
  </si>
  <si>
    <t>Ross 308</t>
  </si>
  <si>
    <t>BATCH-2026-003</t>
  </si>
  <si>
    <t>BATCH-2026-004</t>
  </si>
  <si>
    <t>Hubbard Classic</t>
  </si>
  <si>
    <t>ALERT</t>
  </si>
  <si>
    <t>BATCH-2026-005</t>
  </si>
  <si>
    <t>BATCH-2026-006</t>
  </si>
  <si>
    <t>ATTENTION</t>
  </si>
  <si>
    <t>BATCH-2026-007</t>
  </si>
  <si>
    <t>BATCH-2026-008</t>
  </si>
  <si>
    <t>BATCH-2026-009</t>
  </si>
  <si>
    <t>BATCH-2026-010</t>
  </si>
  <si>
    <t>BATCH-2026-011</t>
  </si>
  <si>
    <t>BATCH-2026-012</t>
  </si>
  <si>
    <t>Feed Purchase</t>
  </si>
  <si>
    <t>Utility (Power/Water)</t>
  </si>
  <si>
    <t>Miscellaneous</t>
  </si>
  <si>
    <t>Medication &amp; Vaccines</t>
  </si>
  <si>
    <t>Labor</t>
  </si>
  <si>
    <t>cost_naira</t>
  </si>
  <si>
    <t>expense_category</t>
  </si>
  <si>
    <t>expense_date</t>
  </si>
  <si>
    <t>Farm-wide Average FCR</t>
  </si>
  <si>
    <t>Farm-wide Average Mortality</t>
  </si>
  <si>
    <t>Total Cost (NGN)</t>
  </si>
  <si>
    <t>Agrimetrics: Poultry Farm Operations Analytics Dashboard</t>
  </si>
  <si>
    <t>Batch Performance Scorecard — 12 broiler batches · FCR, mortality, and cost efficiency by batch</t>
  </si>
  <si>
    <t>Cost Breakdown — expense distribution by category and batch</t>
  </si>
  <si>
    <t>Row Labels</t>
  </si>
  <si>
    <t>Grand Total</t>
  </si>
  <si>
    <t>Column Labels</t>
  </si>
  <si>
    <t>Sum of cost_naira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</si>
</sst>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&quot;%&quot;"/>
    <numFmt numFmtId="167" formatCode="[$₦-46A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1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18" fillId="0" borderId="0" xfId="0" applyFont="1" applyAlignment="1">
      <alignment horizontal="center"/>
    </xf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0" fillId="0" borderId="0" xfId="0" applyFont="1" applyAlignment="1">
      <alignment horizontal="left"/>
    </xf>
    <xf numFmtId="0" fontId="0" fillId="0" borderId="10" xfId="0" pivotButton="1" applyBorder="1"/>
    <xf numFmtId="0" fontId="0" fillId="0" borderId="12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4" xfId="0" applyBorder="1" applyAlignment="1">
      <alignment horizontal="left"/>
    </xf>
    <xf numFmtId="167" fontId="0" fillId="0" borderId="0" xfId="0" applyNumberFormat="1"/>
    <xf numFmtId="167" fontId="0" fillId="0" borderId="12" xfId="0" applyNumberFormat="1" applyBorder="1"/>
    <xf numFmtId="167" fontId="0" fillId="0" borderId="13" xfId="0" applyNumberFormat="1" applyBorder="1"/>
    <xf numFmtId="167" fontId="0" fillId="0" borderId="15" xfId="0" applyNumberFormat="1" applyBorder="1"/>
    <xf numFmtId="167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numFmt numFmtId="167" formatCode="[$₦-46A]#,##0.00"/>
    </dxf>
    <dxf>
      <numFmt numFmtId="167" formatCode="[$₦-46A]#,##0.00"/>
    </dxf>
    <dxf>
      <numFmt numFmtId="167" formatCode="[$₦-46A]#,##0.00"/>
    </dxf>
    <dxf>
      <numFmt numFmtId="167" formatCode="[$₦-46A]#,##0.00"/>
    </dxf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  <dxf>
      <numFmt numFmtId="164" formatCode="0.00&quot;%&quot;"/>
    </dxf>
    <dxf>
      <alignment horizontal="center" vertical="bottom" textRotation="0" wrapText="0" indent="0" justifyLastLine="0" shrinkToFit="0" readingOrder="0"/>
    </dxf>
    <dxf>
      <numFmt numFmtId="19" formatCode="m/d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Cost per kg by Batch (₦)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batch_scorecard!$A$9:$A$20</c:f>
              <c:strCache>
                <c:ptCount val="12"/>
                <c:pt idx="0">
                  <c:v>BATCH-2026-001</c:v>
                </c:pt>
                <c:pt idx="1">
                  <c:v>BATCH-2026-002</c:v>
                </c:pt>
                <c:pt idx="2">
                  <c:v>BATCH-2026-003</c:v>
                </c:pt>
                <c:pt idx="3">
                  <c:v>BATCH-2026-004</c:v>
                </c:pt>
                <c:pt idx="4">
                  <c:v>BATCH-2026-005</c:v>
                </c:pt>
                <c:pt idx="5">
                  <c:v>BATCH-2026-006</c:v>
                </c:pt>
                <c:pt idx="6">
                  <c:v>BATCH-2026-007</c:v>
                </c:pt>
                <c:pt idx="7">
                  <c:v>BATCH-2026-008</c:v>
                </c:pt>
                <c:pt idx="8">
                  <c:v>BATCH-2026-009</c:v>
                </c:pt>
                <c:pt idx="9">
                  <c:v>BATCH-2026-010</c:v>
                </c:pt>
                <c:pt idx="10">
                  <c:v>BATCH-2026-011</c:v>
                </c:pt>
                <c:pt idx="11">
                  <c:v>BATCH-2026-012</c:v>
                </c:pt>
              </c:strCache>
            </c:strRef>
          </c:cat>
          <c:val>
            <c:numRef>
              <c:f>batch_scorecard!$F$9:$F$20</c:f>
              <c:numCache>
                <c:formatCode>[$₦-46A]#,##0.00</c:formatCode>
                <c:ptCount val="12"/>
                <c:pt idx="0">
                  <c:v>1166.8499999999999</c:v>
                </c:pt>
                <c:pt idx="1">
                  <c:v>1198.75</c:v>
                </c:pt>
                <c:pt idx="2">
                  <c:v>558.71</c:v>
                </c:pt>
                <c:pt idx="3">
                  <c:v>1921.04</c:v>
                </c:pt>
                <c:pt idx="4">
                  <c:v>830</c:v>
                </c:pt>
                <c:pt idx="5">
                  <c:v>638.54999999999995</c:v>
                </c:pt>
                <c:pt idx="6">
                  <c:v>662.77</c:v>
                </c:pt>
                <c:pt idx="7">
                  <c:v>878.64</c:v>
                </c:pt>
                <c:pt idx="8">
                  <c:v>260.82</c:v>
                </c:pt>
                <c:pt idx="9">
                  <c:v>1287.18</c:v>
                </c:pt>
                <c:pt idx="10">
                  <c:v>1204.17</c:v>
                </c:pt>
                <c:pt idx="11">
                  <c:v>2080.09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0131880"/>
        <c:axId val="340134624"/>
      </c:barChart>
      <c:catAx>
        <c:axId val="340131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134624"/>
        <c:crosses val="autoZero"/>
        <c:auto val="1"/>
        <c:lblAlgn val="ctr"/>
        <c:lblOffset val="100"/>
        <c:noMultiLvlLbl val="0"/>
      </c:catAx>
      <c:valAx>
        <c:axId val="3401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A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131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[farm_summary_workbook.xlsx]cost_breakdown!PivotTable7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Spend by Expense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numFmt formatCode="[$₦-46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[$₦-46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cost_breakdown!$B$22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numFmt formatCode="[$₦-46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cost_breakdown!$A$23:$A$28</c:f>
              <c:strCache>
                <c:ptCount val="5"/>
                <c:pt idx="0">
                  <c:v>Feed Purchase</c:v>
                </c:pt>
                <c:pt idx="1">
                  <c:v>Labor</c:v>
                </c:pt>
                <c:pt idx="2">
                  <c:v>Medication &amp; Vaccines</c:v>
                </c:pt>
                <c:pt idx="3">
                  <c:v>Miscellaneous</c:v>
                </c:pt>
                <c:pt idx="4">
                  <c:v>Utility (Power/Water)</c:v>
                </c:pt>
              </c:strCache>
            </c:strRef>
          </c:cat>
          <c:val>
            <c:numRef>
              <c:f>cost_breakdown!$B$23:$B$28</c:f>
              <c:numCache>
                <c:formatCode>[$₦-46A]#,##0.00</c:formatCode>
                <c:ptCount val="5"/>
                <c:pt idx="0">
                  <c:v>72557575.629999995</c:v>
                </c:pt>
                <c:pt idx="1">
                  <c:v>943781</c:v>
                </c:pt>
                <c:pt idx="2">
                  <c:v>5485395.0499999998</c:v>
                </c:pt>
                <c:pt idx="3">
                  <c:v>223984</c:v>
                </c:pt>
                <c:pt idx="4">
                  <c:v>533587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79646752"/>
        <c:axId val="279644400"/>
      </c:barChart>
      <c:valAx>
        <c:axId val="279644400"/>
        <c:scaling>
          <c:orientation val="minMax"/>
        </c:scaling>
        <c:delete val="0"/>
        <c:axPos val="l"/>
        <c:numFmt formatCode="[$₦-46A]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46752"/>
        <c:crossBetween val="between"/>
      </c:valAx>
      <c:catAx>
        <c:axId val="279646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444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22</xdr:row>
      <xdr:rowOff>14286</xdr:rowOff>
    </xdr:from>
    <xdr:to>
      <xdr:col>5</xdr:col>
      <xdr:colOff>114299</xdr:colOff>
      <xdr:row>39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20</xdr:row>
      <xdr:rowOff>176212</xdr:rowOff>
    </xdr:from>
    <xdr:to>
      <xdr:col>7</xdr:col>
      <xdr:colOff>4762</xdr:colOff>
      <xdr:row>36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83.998835532409" createdVersion="5" refreshedVersion="5" minRefreshableVersion="3" recordCount="60">
  <cacheSource type="worksheet">
    <worksheetSource name="tbl_Financials"/>
  </cacheSource>
  <cacheFields count="4">
    <cacheField name="expense_date" numFmtId="14">
      <sharedItems containsSemiMixedTypes="0" containsNonDate="0" containsDate="1" containsString="0" minDate="2026-01-15T00:00:00" maxDate="2026-09-29T00:00:00"/>
    </cacheField>
    <cacheField name="batch_id" numFmtId="0">
      <sharedItems count="12">
        <s v="BATCH-2026-001"/>
        <s v="BATCH-2026-002"/>
        <s v="BATCH-2026-003"/>
        <s v="BATCH-2026-004"/>
        <s v="BATCH-2026-005"/>
        <s v="BATCH-2026-006"/>
        <s v="BATCH-2026-007"/>
        <s v="BATCH-2026-008"/>
        <s v="BATCH-2026-009"/>
        <s v="BATCH-2026-010"/>
        <s v="BATCH-2026-011"/>
        <s v="BATCH-2026-012"/>
      </sharedItems>
    </cacheField>
    <cacheField name="expense_category" numFmtId="0">
      <sharedItems count="5">
        <s v="Miscellaneous"/>
        <s v="Feed Purchase"/>
        <s v="Labor"/>
        <s v="Medication &amp; Vaccines"/>
        <s v="Utility (Power/Water)"/>
      </sharedItems>
    </cacheField>
    <cacheField name="cost_naira" numFmtId="0">
      <sharedItems containsSemiMixedTypes="0" containsString="0" containsNumber="1" minValue="12577" maxValue="6139190.76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d v="2026-02-19T00:00:00"/>
    <x v="0"/>
    <x v="0"/>
    <n v="30105"/>
  </r>
  <r>
    <d v="2026-02-01T00:00:00"/>
    <x v="0"/>
    <x v="1"/>
    <n v="5003985.78"/>
  </r>
  <r>
    <d v="2026-02-03T00:00:00"/>
    <x v="0"/>
    <x v="1"/>
    <n v="4538677.7300000004"/>
  </r>
  <r>
    <d v="2026-01-15T00:00:00"/>
    <x v="0"/>
    <x v="2"/>
    <n v="96009"/>
  </r>
  <r>
    <d v="2026-02-20T00:00:00"/>
    <x v="0"/>
    <x v="3"/>
    <n v="857653.31"/>
  </r>
  <r>
    <d v="2026-01-24T00:00:00"/>
    <x v="0"/>
    <x v="4"/>
    <n v="34560"/>
  </r>
  <r>
    <d v="2026-03-09T00:00:00"/>
    <x v="1"/>
    <x v="1"/>
    <n v="4955527.7300000004"/>
  </r>
  <r>
    <d v="2026-03-05T00:00:00"/>
    <x v="1"/>
    <x v="3"/>
    <n v="757419.68"/>
  </r>
  <r>
    <d v="2026-02-27T00:00:00"/>
    <x v="1"/>
    <x v="2"/>
    <n v="70631"/>
  </r>
  <r>
    <d v="2026-02-24T00:00:00"/>
    <x v="1"/>
    <x v="2"/>
    <n v="144581"/>
  </r>
  <r>
    <d v="2026-02-09T00:00:00"/>
    <x v="1"/>
    <x v="0"/>
    <n v="29537"/>
  </r>
  <r>
    <d v="2026-03-15T00:00:00"/>
    <x v="1"/>
    <x v="1"/>
    <n v="5032822.82"/>
  </r>
  <r>
    <d v="2026-03-23T00:00:00"/>
    <x v="2"/>
    <x v="1"/>
    <n v="2453041.4500000002"/>
  </r>
  <r>
    <d v="2026-03-24T00:00:00"/>
    <x v="2"/>
    <x v="4"/>
    <n v="69785"/>
  </r>
  <r>
    <d v="2026-03-09T00:00:00"/>
    <x v="2"/>
    <x v="4"/>
    <n v="47902"/>
  </r>
  <r>
    <d v="2026-03-18T00:00:00"/>
    <x v="2"/>
    <x v="0"/>
    <n v="13729"/>
  </r>
  <r>
    <d v="2026-04-22T00:00:00"/>
    <x v="3"/>
    <x v="1"/>
    <n v="1823378.02"/>
  </r>
  <r>
    <d v="2026-04-04T00:00:00"/>
    <x v="3"/>
    <x v="4"/>
    <n v="64533"/>
  </r>
  <r>
    <d v="2026-04-23T00:00:00"/>
    <x v="3"/>
    <x v="1"/>
    <n v="1796674.7"/>
  </r>
  <r>
    <d v="2026-04-04T00:00:00"/>
    <x v="3"/>
    <x v="1"/>
    <n v="1706072.39"/>
  </r>
  <r>
    <d v="2026-04-01T00:00:00"/>
    <x v="3"/>
    <x v="3"/>
    <n v="321736.90000000002"/>
  </r>
  <r>
    <d v="2026-04-05T00:00:00"/>
    <x v="4"/>
    <x v="2"/>
    <n v="65726"/>
  </r>
  <r>
    <d v="2026-05-02T00:00:00"/>
    <x v="4"/>
    <x v="4"/>
    <n v="78956"/>
  </r>
  <r>
    <d v="2026-05-09T00:00:00"/>
    <x v="4"/>
    <x v="3"/>
    <n v="758223.03"/>
  </r>
  <r>
    <d v="2026-04-27T00:00:00"/>
    <x v="4"/>
    <x v="3"/>
    <n v="930922.1"/>
  </r>
  <r>
    <d v="2026-04-07T00:00:00"/>
    <x v="4"/>
    <x v="1"/>
    <n v="6139190.7699999996"/>
  </r>
  <r>
    <d v="2026-04-29T00:00:00"/>
    <x v="5"/>
    <x v="1"/>
    <n v="4573032.01"/>
  </r>
  <r>
    <d v="2026-05-22T00:00:00"/>
    <x v="5"/>
    <x v="2"/>
    <n v="125465"/>
  </r>
  <r>
    <d v="2026-06-04T00:00:00"/>
    <x v="5"/>
    <x v="0"/>
    <n v="23252"/>
  </r>
  <r>
    <d v="2026-05-02T00:00:00"/>
    <x v="5"/>
    <x v="4"/>
    <n v="48973"/>
  </r>
  <r>
    <d v="2026-05-15T00:00:00"/>
    <x v="5"/>
    <x v="4"/>
    <n v="31366"/>
  </r>
  <r>
    <d v="2026-06-07T00:00:00"/>
    <x v="6"/>
    <x v="0"/>
    <n v="25076"/>
  </r>
  <r>
    <d v="2026-05-21T00:00:00"/>
    <x v="6"/>
    <x v="1"/>
    <n v="1493397.19"/>
  </r>
  <r>
    <d v="2026-06-09T00:00:00"/>
    <x v="6"/>
    <x v="3"/>
    <n v="217182.91"/>
  </r>
  <r>
    <d v="2026-06-09T00:00:00"/>
    <x v="6"/>
    <x v="0"/>
    <n v="12577"/>
  </r>
  <r>
    <d v="2026-06-25T00:00:00"/>
    <x v="7"/>
    <x v="2"/>
    <n v="79041"/>
  </r>
  <r>
    <d v="2026-07-14T00:00:00"/>
    <x v="7"/>
    <x v="3"/>
    <n v="307709.25"/>
  </r>
  <r>
    <d v="2026-06-16T00:00:00"/>
    <x v="7"/>
    <x v="1"/>
    <n v="2653122.1800000002"/>
  </r>
  <r>
    <d v="2026-06-13T00:00:00"/>
    <x v="7"/>
    <x v="2"/>
    <n v="96019"/>
  </r>
  <r>
    <d v="2026-06-20T00:00:00"/>
    <x v="7"/>
    <x v="3"/>
    <n v="312867.44"/>
  </r>
  <r>
    <d v="2026-06-28T00:00:00"/>
    <x v="8"/>
    <x v="3"/>
    <n v="232945.81"/>
  </r>
  <r>
    <d v="2026-08-03T00:00:00"/>
    <x v="8"/>
    <x v="3"/>
    <n v="271603.17"/>
  </r>
  <r>
    <d v="2026-07-30T00:00:00"/>
    <x v="8"/>
    <x v="4"/>
    <n v="60405"/>
  </r>
  <r>
    <d v="2026-07-30T00:00:00"/>
    <x v="8"/>
    <x v="0"/>
    <n v="24709"/>
  </r>
  <r>
    <d v="2026-08-23T00:00:00"/>
    <x v="9"/>
    <x v="0"/>
    <n v="20590"/>
  </r>
  <r>
    <d v="2026-08-11T00:00:00"/>
    <x v="9"/>
    <x v="2"/>
    <n v="69786"/>
  </r>
  <r>
    <d v="2026-08-23T00:00:00"/>
    <x v="9"/>
    <x v="1"/>
    <n v="5271539.3099999996"/>
  </r>
  <r>
    <d v="2026-08-20T00:00:00"/>
    <x v="9"/>
    <x v="2"/>
    <n v="86002"/>
  </r>
  <r>
    <d v="2026-07-18T00:00:00"/>
    <x v="9"/>
    <x v="1"/>
    <n v="5133551.05"/>
  </r>
  <r>
    <d v="2026-08-11T00:00:00"/>
    <x v="9"/>
    <x v="2"/>
    <n v="110521"/>
  </r>
  <r>
    <d v="2026-08-21T00:00:00"/>
    <x v="10"/>
    <x v="1"/>
    <n v="4235927.9800000004"/>
  </r>
  <r>
    <d v="2026-08-08T00:00:00"/>
    <x v="10"/>
    <x v="1"/>
    <n v="4503468.6100000003"/>
  </r>
  <r>
    <d v="2026-09-04T00:00:00"/>
    <x v="10"/>
    <x v="0"/>
    <n v="29466"/>
  </r>
  <r>
    <d v="2026-09-09T00:00:00"/>
    <x v="10"/>
    <x v="4"/>
    <n v="60324"/>
  </r>
  <r>
    <d v="2026-09-28T00:00:00"/>
    <x v="11"/>
    <x v="1"/>
    <n v="3789838.2"/>
  </r>
  <r>
    <d v="2026-09-22T00:00:00"/>
    <x v="11"/>
    <x v="3"/>
    <n v="517131.45"/>
  </r>
  <r>
    <d v="2026-08-26T00:00:00"/>
    <x v="11"/>
    <x v="0"/>
    <n v="14943"/>
  </r>
  <r>
    <d v="2026-09-13T00:00:00"/>
    <x v="11"/>
    <x v="4"/>
    <n v="36783"/>
  </r>
  <r>
    <d v="2026-09-03T00:00:00"/>
    <x v="11"/>
    <x v="1"/>
    <n v="3836524.38"/>
  </r>
  <r>
    <d v="2026-09-20T00:00:00"/>
    <x v="11"/>
    <x v="1"/>
    <n v="3617803.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7">
  <location ref="A22:B28" firstHeaderRow="1" firstDataRow="1" firstDataCol="1"/>
  <pivotFields count="4">
    <pivotField numFmtId="14"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st_naira" fld="3" baseField="2" baseItem="0" numFmtId="167"/>
  </dataFields>
  <formats count="2">
    <format dxfId="24">
      <pivotArea outline="0" collapsedLevelsAreSubtotals="1" fieldPosition="0"/>
    </format>
    <format dxfId="21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G18" firstHeaderRow="1" firstDataRow="2" firstDataCol="1"/>
  <pivotFields count="4"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6">
        <item x="1"/>
        <item x="2"/>
        <item x="3"/>
        <item x="0"/>
        <item x="4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st_naira" fld="3" baseField="1" baseItem="0" numFmtId="167"/>
  </dataField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8:I20" totalsRowShown="0" headerRowDxfId="27">
  <autoFilter ref="A8:I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batch_id"/>
    <tableColumn id="2" name="breed_type"/>
    <tableColumn id="3" name="initial_stock"/>
    <tableColumn id="4" name="final_weight_kg"/>
    <tableColumn id="5" name="total_cost_naira" dataDxfId="19"/>
    <tableColumn id="6" name="cost_per_kg_naira" dataDxfId="18"/>
    <tableColumn id="7" name="mortality_rate_pct" dataDxfId="26"/>
    <tableColumn id="8" name="fcr" dataDxfId="25"/>
    <tableColumn id="9" name="operational_status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bl_Financials" displayName="tbl_Financials" ref="A1:D61" totalsRowShown="0" headerRowDxfId="29">
  <autoFilter ref="A1:D61">
    <filterColumn colId="0" hiddenButton="1"/>
    <filterColumn colId="1" hiddenButton="1"/>
    <filterColumn colId="2" hiddenButton="1"/>
    <filterColumn colId="3" hiddenButton="1"/>
  </autoFilter>
  <tableColumns count="4">
    <tableColumn id="1" name="expense_date" dataDxfId="28"/>
    <tableColumn id="2" name="batch_id"/>
    <tableColumn id="3" name="expense_category"/>
    <tableColumn id="4" name="cost_naira" dataDxfId="2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20"/>
  <sheetViews>
    <sheetView showGridLines="0" zoomScaleNormal="100" workbookViewId="0">
      <pane ySplit="8" topLeftCell="A9" activePane="bottomLeft" state="frozen"/>
      <selection pane="bottomLeft" activeCell="F4" sqref="F4"/>
    </sheetView>
  </sheetViews>
  <sheetFormatPr defaultRowHeight="15" x14ac:dyDescent="0.25"/>
  <cols>
    <col min="1" max="1" width="27" customWidth="1"/>
    <col min="2" max="2" width="14.85546875" customWidth="1"/>
    <col min="3" max="3" width="13.85546875" customWidth="1"/>
    <col min="4" max="4" width="17.28515625" customWidth="1"/>
    <col min="5" max="5" width="15.28515625" bestFit="1" customWidth="1"/>
    <col min="6" max="6" width="19.140625" customWidth="1"/>
    <col min="7" max="7" width="19.5703125" customWidth="1"/>
    <col min="8" max="8" width="6.85546875" customWidth="1"/>
    <col min="9" max="9" width="19.7109375" customWidth="1"/>
  </cols>
  <sheetData>
    <row r="1" spans="1:9" s="1" customFormat="1" ht="23.25" x14ac:dyDescent="0.35">
      <c r="A1" s="10" t="s">
        <v>38</v>
      </c>
      <c r="D1" s="5"/>
    </row>
    <row r="2" spans="1:9" x14ac:dyDescent="0.25">
      <c r="A2" s="6" t="s">
        <v>39</v>
      </c>
      <c r="B2" s="6"/>
      <c r="C2" s="6"/>
      <c r="D2" s="6"/>
      <c r="E2" s="6"/>
    </row>
    <row r="4" spans="1:9" x14ac:dyDescent="0.25">
      <c r="A4" t="s">
        <v>35</v>
      </c>
      <c r="B4" s="4">
        <f>AVERAGE(Table1[fcr])</f>
        <v>1.843333333333333</v>
      </c>
    </row>
    <row r="5" spans="1:9" x14ac:dyDescent="0.25">
      <c r="A5" t="s">
        <v>36</v>
      </c>
      <c r="B5" s="9">
        <f>AVERAGE(Table1[mortality_rate_pct])</f>
        <v>1.6666666666666663</v>
      </c>
    </row>
    <row r="6" spans="1:9" x14ac:dyDescent="0.25">
      <c r="A6" t="s">
        <v>37</v>
      </c>
      <c r="B6" s="16">
        <f>SUM(Table1[total_cost_naira])</f>
        <v>79744322.679999992</v>
      </c>
    </row>
    <row r="8" spans="1:9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25">
      <c r="A9" t="s">
        <v>9</v>
      </c>
      <c r="B9" t="s">
        <v>10</v>
      </c>
      <c r="C9">
        <v>3619</v>
      </c>
      <c r="D9">
        <v>9050.8700000000008</v>
      </c>
      <c r="E9" s="16">
        <v>10560990.82</v>
      </c>
      <c r="F9" s="16">
        <v>1166.8499999999999</v>
      </c>
      <c r="G9" s="9">
        <v>0.86</v>
      </c>
      <c r="H9" s="3">
        <v>1.53</v>
      </c>
      <c r="I9" t="s">
        <v>11</v>
      </c>
    </row>
    <row r="10" spans="1:9" x14ac:dyDescent="0.25">
      <c r="A10" t="s">
        <v>12</v>
      </c>
      <c r="B10" t="s">
        <v>13</v>
      </c>
      <c r="C10">
        <v>4037</v>
      </c>
      <c r="D10">
        <v>9168.2900000000009</v>
      </c>
      <c r="E10" s="16">
        <v>10990519.23</v>
      </c>
      <c r="F10" s="16">
        <v>1198.75</v>
      </c>
      <c r="G10" s="9">
        <v>0.87</v>
      </c>
      <c r="H10" s="3">
        <v>1.71</v>
      </c>
      <c r="I10" t="s">
        <v>11</v>
      </c>
    </row>
    <row r="11" spans="1:9" x14ac:dyDescent="0.25">
      <c r="A11" t="s">
        <v>14</v>
      </c>
      <c r="B11" t="s">
        <v>10</v>
      </c>
      <c r="C11">
        <v>1914</v>
      </c>
      <c r="D11">
        <v>4625.76</v>
      </c>
      <c r="E11" s="16">
        <v>2584457.4500000002</v>
      </c>
      <c r="F11" s="16">
        <v>558.71</v>
      </c>
      <c r="G11" s="9">
        <v>1.72</v>
      </c>
      <c r="H11" s="3">
        <v>1.58</v>
      </c>
      <c r="I11" t="s">
        <v>11</v>
      </c>
    </row>
    <row r="12" spans="1:9" x14ac:dyDescent="0.25">
      <c r="A12" t="s">
        <v>15</v>
      </c>
      <c r="B12" t="s">
        <v>16</v>
      </c>
      <c r="C12">
        <v>1419</v>
      </c>
      <c r="D12">
        <v>2973.59</v>
      </c>
      <c r="E12" s="16">
        <v>5712395.0099999998</v>
      </c>
      <c r="F12" s="16">
        <v>1921.04</v>
      </c>
      <c r="G12" s="9">
        <v>4.16</v>
      </c>
      <c r="H12" s="3">
        <v>1.95</v>
      </c>
      <c r="I12" t="s">
        <v>17</v>
      </c>
    </row>
    <row r="13" spans="1:9" x14ac:dyDescent="0.25">
      <c r="A13" t="s">
        <v>18</v>
      </c>
      <c r="B13" t="s">
        <v>16</v>
      </c>
      <c r="C13">
        <v>4654</v>
      </c>
      <c r="D13">
        <v>9605.99</v>
      </c>
      <c r="E13" s="16">
        <v>7973017.9000000004</v>
      </c>
      <c r="F13" s="16">
        <v>830</v>
      </c>
      <c r="G13" s="9">
        <v>0.57999999999999996</v>
      </c>
      <c r="H13" s="3">
        <v>2</v>
      </c>
      <c r="I13" t="s">
        <v>17</v>
      </c>
    </row>
    <row r="14" spans="1:9" x14ac:dyDescent="0.25">
      <c r="A14" t="s">
        <v>19</v>
      </c>
      <c r="B14" t="s">
        <v>13</v>
      </c>
      <c r="C14">
        <v>3418</v>
      </c>
      <c r="D14">
        <v>7520.28</v>
      </c>
      <c r="E14" s="16">
        <v>4802088.01</v>
      </c>
      <c r="F14" s="16">
        <v>638.54999999999995</v>
      </c>
      <c r="G14" s="9">
        <v>1.2</v>
      </c>
      <c r="H14" s="3">
        <v>1.9</v>
      </c>
      <c r="I14" t="s">
        <v>20</v>
      </c>
    </row>
    <row r="15" spans="1:9" x14ac:dyDescent="0.25">
      <c r="A15" t="s">
        <v>21</v>
      </c>
      <c r="B15" t="s">
        <v>10</v>
      </c>
      <c r="C15">
        <v>1122</v>
      </c>
      <c r="D15">
        <v>2637.78</v>
      </c>
      <c r="E15" s="16">
        <v>1748233.1</v>
      </c>
      <c r="F15" s="16">
        <v>662.77</v>
      </c>
      <c r="G15" s="9">
        <v>3.3</v>
      </c>
      <c r="H15" s="3">
        <v>1.73</v>
      </c>
      <c r="I15" t="s">
        <v>17</v>
      </c>
    </row>
    <row r="16" spans="1:9" x14ac:dyDescent="0.25">
      <c r="A16" t="s">
        <v>22</v>
      </c>
      <c r="B16" t="s">
        <v>16</v>
      </c>
      <c r="C16">
        <v>1952</v>
      </c>
      <c r="D16">
        <v>3925.12</v>
      </c>
      <c r="E16" s="16">
        <v>3448758.87</v>
      </c>
      <c r="F16" s="16">
        <v>878.64</v>
      </c>
      <c r="G16" s="9">
        <v>1.84</v>
      </c>
      <c r="H16" s="3">
        <v>2.0099999999999998</v>
      </c>
      <c r="I16" t="s">
        <v>17</v>
      </c>
    </row>
    <row r="17" spans="1:9" x14ac:dyDescent="0.25">
      <c r="A17" t="s">
        <v>23</v>
      </c>
      <c r="B17" t="s">
        <v>16</v>
      </c>
      <c r="C17">
        <v>1108</v>
      </c>
      <c r="D17">
        <v>2260.8000000000002</v>
      </c>
      <c r="E17" s="16">
        <v>589662.98</v>
      </c>
      <c r="F17" s="16">
        <v>260.82</v>
      </c>
      <c r="G17" s="9">
        <v>2.89</v>
      </c>
      <c r="H17" s="3">
        <v>1.93</v>
      </c>
      <c r="I17" t="s">
        <v>17</v>
      </c>
    </row>
    <row r="18" spans="1:9" x14ac:dyDescent="0.25">
      <c r="A18" t="s">
        <v>24</v>
      </c>
      <c r="B18" t="s">
        <v>16</v>
      </c>
      <c r="C18">
        <v>3932</v>
      </c>
      <c r="D18">
        <v>8306.5499999999993</v>
      </c>
      <c r="E18" s="16">
        <v>10691989.359999999</v>
      </c>
      <c r="F18" s="16">
        <v>1287.18</v>
      </c>
      <c r="G18" s="9">
        <v>0.64</v>
      </c>
      <c r="H18" s="3">
        <v>1.86</v>
      </c>
      <c r="I18" t="s">
        <v>20</v>
      </c>
    </row>
    <row r="19" spans="1:9" x14ac:dyDescent="0.25">
      <c r="A19" t="s">
        <v>25</v>
      </c>
      <c r="B19" t="s">
        <v>13</v>
      </c>
      <c r="C19">
        <v>3232</v>
      </c>
      <c r="D19">
        <v>7332.19</v>
      </c>
      <c r="E19" s="16">
        <v>8829186.5899999999</v>
      </c>
      <c r="F19" s="16">
        <v>1204.17</v>
      </c>
      <c r="G19" s="9">
        <v>0.99</v>
      </c>
      <c r="H19" s="3">
        <v>1.84</v>
      </c>
      <c r="I19" t="s">
        <v>11</v>
      </c>
    </row>
    <row r="20" spans="1:9" x14ac:dyDescent="0.25">
      <c r="A20" t="s">
        <v>26</v>
      </c>
      <c r="B20" t="s">
        <v>16</v>
      </c>
      <c r="C20">
        <v>2839</v>
      </c>
      <c r="D20">
        <v>5679.1</v>
      </c>
      <c r="E20" s="16">
        <v>11813023.359999999</v>
      </c>
      <c r="F20" s="16">
        <v>2080.09</v>
      </c>
      <c r="G20" s="9">
        <v>0.95</v>
      </c>
      <c r="H20" s="3">
        <v>2.08</v>
      </c>
      <c r="I20" t="s">
        <v>17</v>
      </c>
    </row>
  </sheetData>
  <conditionalFormatting sqref="I9:I20">
    <cfRule type="containsText" dxfId="17" priority="7" operator="containsText" text="attention">
      <formula>NOT(ISERROR(SEARCH("attention",I9)))</formula>
    </cfRule>
    <cfRule type="containsText" dxfId="16" priority="8" operator="containsText" text="alert">
      <formula>NOT(ISERROR(SEARCH("alert",I9)))</formula>
    </cfRule>
    <cfRule type="containsText" dxfId="15" priority="9" operator="containsText" text="OPTIMAL">
      <formula>NOT(ISERROR(SEARCH("OPTIMAL",I9)))</formula>
    </cfRule>
  </conditionalFormatting>
  <conditionalFormatting sqref="G9:G20">
    <cfRule type="cellIs" dxfId="14" priority="4" operator="between">
      <formula>1</formula>
      <formula>1.85</formula>
    </cfRule>
    <cfRule type="cellIs" dxfId="13" priority="5" operator="lessThan">
      <formula>1</formula>
    </cfRule>
    <cfRule type="cellIs" dxfId="12" priority="6" operator="greaterThan">
      <formula>2.5</formula>
    </cfRule>
  </conditionalFormatting>
  <conditionalFormatting sqref="H9:H20">
    <cfRule type="cellIs" dxfId="11" priority="1" operator="greaterThan">
      <formula>1.97</formula>
    </cfRule>
    <cfRule type="cellIs" dxfId="10" priority="2" operator="between">
      <formula>1.72</formula>
      <formula>1.95</formula>
    </cfRule>
    <cfRule type="cellIs" dxfId="9" priority="3" operator="lessThan">
      <formula>1.72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28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1.42578125" customWidth="1"/>
    <col min="2" max="2" width="16.7109375" customWidth="1"/>
    <col min="3" max="3" width="13.140625" customWidth="1"/>
    <col min="4" max="4" width="23" customWidth="1"/>
    <col min="5" max="5" width="15.7109375" customWidth="1"/>
    <col min="6" max="6" width="23.140625" customWidth="1"/>
    <col min="7" max="7" width="14.28515625" bestFit="1" customWidth="1"/>
  </cols>
  <sheetData>
    <row r="1" spans="1:7" ht="23.25" x14ac:dyDescent="0.35">
      <c r="A1" s="10" t="s">
        <v>38</v>
      </c>
      <c r="B1" s="1"/>
      <c r="C1" s="1"/>
      <c r="D1" s="5"/>
      <c r="E1" s="1"/>
    </row>
    <row r="2" spans="1:7" x14ac:dyDescent="0.25">
      <c r="A2" s="6" t="s">
        <v>40</v>
      </c>
      <c r="B2" s="6"/>
      <c r="C2" s="6"/>
      <c r="D2" s="6"/>
      <c r="E2" s="6"/>
    </row>
    <row r="4" spans="1:7" x14ac:dyDescent="0.25">
      <c r="A4" s="7" t="s">
        <v>44</v>
      </c>
      <c r="B4" s="7" t="s">
        <v>43</v>
      </c>
    </row>
    <row r="5" spans="1:7" x14ac:dyDescent="0.25">
      <c r="A5" s="7" t="s">
        <v>41</v>
      </c>
      <c r="B5" t="s">
        <v>27</v>
      </c>
      <c r="C5" t="s">
        <v>31</v>
      </c>
      <c r="D5" t="s">
        <v>30</v>
      </c>
      <c r="E5" t="s">
        <v>29</v>
      </c>
      <c r="F5" t="s">
        <v>28</v>
      </c>
      <c r="G5" t="s">
        <v>42</v>
      </c>
    </row>
    <row r="6" spans="1:7" x14ac:dyDescent="0.25">
      <c r="A6" s="8" t="s">
        <v>9</v>
      </c>
      <c r="B6" s="16">
        <v>9542663.5100000016</v>
      </c>
      <c r="C6" s="16">
        <v>96009</v>
      </c>
      <c r="D6" s="16">
        <v>857653.31</v>
      </c>
      <c r="E6" s="16">
        <v>30105</v>
      </c>
      <c r="F6" s="16">
        <v>34560</v>
      </c>
      <c r="G6" s="16">
        <v>10560990.820000002</v>
      </c>
    </row>
    <row r="7" spans="1:7" x14ac:dyDescent="0.25">
      <c r="A7" s="8" t="s">
        <v>12</v>
      </c>
      <c r="B7" s="16">
        <v>9988350.5500000007</v>
      </c>
      <c r="C7" s="16">
        <v>215212</v>
      </c>
      <c r="D7" s="16">
        <v>757419.68</v>
      </c>
      <c r="E7" s="16">
        <v>29537</v>
      </c>
      <c r="F7" s="16"/>
      <c r="G7" s="16">
        <v>10990519.23</v>
      </c>
    </row>
    <row r="8" spans="1:7" x14ac:dyDescent="0.25">
      <c r="A8" s="8" t="s">
        <v>14</v>
      </c>
      <c r="B8" s="16">
        <v>2453041.4500000002</v>
      </c>
      <c r="C8" s="16"/>
      <c r="D8" s="16"/>
      <c r="E8" s="16">
        <v>13729</v>
      </c>
      <c r="F8" s="16">
        <v>117687</v>
      </c>
      <c r="G8" s="16">
        <v>2584457.4500000002</v>
      </c>
    </row>
    <row r="9" spans="1:7" x14ac:dyDescent="0.25">
      <c r="A9" s="8" t="s">
        <v>15</v>
      </c>
      <c r="B9" s="16">
        <v>5326125.1099999994</v>
      </c>
      <c r="C9" s="16"/>
      <c r="D9" s="16">
        <v>321736.90000000002</v>
      </c>
      <c r="E9" s="16"/>
      <c r="F9" s="16">
        <v>64533</v>
      </c>
      <c r="G9" s="16">
        <v>5712395.0099999998</v>
      </c>
    </row>
    <row r="10" spans="1:7" x14ac:dyDescent="0.25">
      <c r="A10" s="8" t="s">
        <v>18</v>
      </c>
      <c r="B10" s="16">
        <v>6139190.7699999996</v>
      </c>
      <c r="C10" s="16">
        <v>65726</v>
      </c>
      <c r="D10" s="16">
        <v>1689145.13</v>
      </c>
      <c r="E10" s="16"/>
      <c r="F10" s="16">
        <v>78956</v>
      </c>
      <c r="G10" s="16">
        <v>7973017.8999999994</v>
      </c>
    </row>
    <row r="11" spans="1:7" x14ac:dyDescent="0.25">
      <c r="A11" s="8" t="s">
        <v>19</v>
      </c>
      <c r="B11" s="16">
        <v>4573032.01</v>
      </c>
      <c r="C11" s="16">
        <v>125465</v>
      </c>
      <c r="D11" s="16"/>
      <c r="E11" s="16">
        <v>23252</v>
      </c>
      <c r="F11" s="16">
        <v>80339</v>
      </c>
      <c r="G11" s="16">
        <v>4802088.01</v>
      </c>
    </row>
    <row r="12" spans="1:7" x14ac:dyDescent="0.25">
      <c r="A12" s="8" t="s">
        <v>21</v>
      </c>
      <c r="B12" s="16">
        <v>1493397.19</v>
      </c>
      <c r="C12" s="16"/>
      <c r="D12" s="16">
        <v>217182.91</v>
      </c>
      <c r="E12" s="16">
        <v>37653</v>
      </c>
      <c r="F12" s="16"/>
      <c r="G12" s="16">
        <v>1748233.0999999999</v>
      </c>
    </row>
    <row r="13" spans="1:7" x14ac:dyDescent="0.25">
      <c r="A13" s="8" t="s">
        <v>22</v>
      </c>
      <c r="B13" s="16">
        <v>2653122.1800000002</v>
      </c>
      <c r="C13" s="16">
        <v>175060</v>
      </c>
      <c r="D13" s="16">
        <v>620576.68999999994</v>
      </c>
      <c r="E13" s="16"/>
      <c r="F13" s="16"/>
      <c r="G13" s="16">
        <v>3448758.87</v>
      </c>
    </row>
    <row r="14" spans="1:7" x14ac:dyDescent="0.25">
      <c r="A14" s="8" t="s">
        <v>23</v>
      </c>
      <c r="B14" s="16"/>
      <c r="C14" s="16"/>
      <c r="D14" s="16">
        <v>504548.98</v>
      </c>
      <c r="E14" s="16">
        <v>24709</v>
      </c>
      <c r="F14" s="16">
        <v>60405</v>
      </c>
      <c r="G14" s="16">
        <v>589662.98</v>
      </c>
    </row>
    <row r="15" spans="1:7" x14ac:dyDescent="0.25">
      <c r="A15" s="8" t="s">
        <v>24</v>
      </c>
      <c r="B15" s="16">
        <v>10405090.359999999</v>
      </c>
      <c r="C15" s="16">
        <v>266309</v>
      </c>
      <c r="D15" s="16"/>
      <c r="E15" s="16">
        <v>20590</v>
      </c>
      <c r="F15" s="16"/>
      <c r="G15" s="16">
        <v>10691989.359999999</v>
      </c>
    </row>
    <row r="16" spans="1:7" x14ac:dyDescent="0.25">
      <c r="A16" s="8" t="s">
        <v>25</v>
      </c>
      <c r="B16" s="16">
        <v>8739396.5899999999</v>
      </c>
      <c r="C16" s="16"/>
      <c r="D16" s="16"/>
      <c r="E16" s="16">
        <v>29466</v>
      </c>
      <c r="F16" s="16">
        <v>60324</v>
      </c>
      <c r="G16" s="16">
        <v>8829186.5899999999</v>
      </c>
    </row>
    <row r="17" spans="1:7" x14ac:dyDescent="0.25">
      <c r="A17" s="8" t="s">
        <v>26</v>
      </c>
      <c r="B17" s="16">
        <v>11244165.91</v>
      </c>
      <c r="C17" s="16"/>
      <c r="D17" s="16">
        <v>517131.45</v>
      </c>
      <c r="E17" s="16">
        <v>14943</v>
      </c>
      <c r="F17" s="16">
        <v>36783</v>
      </c>
      <c r="G17" s="16">
        <v>11813023.359999999</v>
      </c>
    </row>
    <row r="18" spans="1:7" x14ac:dyDescent="0.25">
      <c r="A18" s="8" t="s">
        <v>42</v>
      </c>
      <c r="B18" s="16">
        <v>72557575.629999995</v>
      </c>
      <c r="C18" s="16">
        <v>943781</v>
      </c>
      <c r="D18" s="16">
        <v>5485395.0499999998</v>
      </c>
      <c r="E18" s="16">
        <v>223984</v>
      </c>
      <c r="F18" s="16">
        <v>533587</v>
      </c>
      <c r="G18" s="16">
        <v>79744322.679999992</v>
      </c>
    </row>
    <row r="22" spans="1:7" x14ac:dyDescent="0.25">
      <c r="A22" s="11" t="s">
        <v>41</v>
      </c>
      <c r="B22" s="12" t="s">
        <v>44</v>
      </c>
    </row>
    <row r="23" spans="1:7" x14ac:dyDescent="0.25">
      <c r="A23" s="13" t="s">
        <v>27</v>
      </c>
      <c r="B23" s="17">
        <v>72557575.629999995</v>
      </c>
    </row>
    <row r="24" spans="1:7" x14ac:dyDescent="0.25">
      <c r="A24" s="14" t="s">
        <v>31</v>
      </c>
      <c r="B24" s="18">
        <v>943781</v>
      </c>
    </row>
    <row r="25" spans="1:7" x14ac:dyDescent="0.25">
      <c r="A25" s="14" t="s">
        <v>30</v>
      </c>
      <c r="B25" s="18">
        <v>5485395.0499999998</v>
      </c>
    </row>
    <row r="26" spans="1:7" x14ac:dyDescent="0.25">
      <c r="A26" s="14" t="s">
        <v>29</v>
      </c>
      <c r="B26" s="18">
        <v>223984</v>
      </c>
    </row>
    <row r="27" spans="1:7" x14ac:dyDescent="0.25">
      <c r="A27" s="14" t="s">
        <v>28</v>
      </c>
      <c r="B27" s="18">
        <v>533587</v>
      </c>
    </row>
    <row r="28" spans="1:7" x14ac:dyDescent="0.25">
      <c r="A28" s="15" t="s">
        <v>42</v>
      </c>
      <c r="B28" s="19">
        <v>79744322.679999992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D61"/>
  <sheetViews>
    <sheetView showGridLines="0" tabSelected="1" workbookViewId="0">
      <selection activeCell="E9" sqref="E9"/>
    </sheetView>
  </sheetViews>
  <sheetFormatPr defaultRowHeight="15" x14ac:dyDescent="0.25"/>
  <cols>
    <col min="1" max="1" width="17.5703125" customWidth="1"/>
    <col min="2" max="2" width="19.28515625" customWidth="1"/>
    <col min="3" max="3" width="23.85546875" customWidth="1"/>
    <col min="4" max="4" width="14.42578125" style="16" customWidth="1"/>
  </cols>
  <sheetData>
    <row r="1" spans="1:4" s="1" customFormat="1" x14ac:dyDescent="0.25">
      <c r="A1" s="1" t="s">
        <v>34</v>
      </c>
      <c r="B1" s="1" t="s">
        <v>0</v>
      </c>
      <c r="C1" s="1" t="s">
        <v>33</v>
      </c>
      <c r="D1" s="20" t="s">
        <v>32</v>
      </c>
    </row>
    <row r="2" spans="1:4" x14ac:dyDescent="0.25">
      <c r="A2" s="2">
        <v>46072</v>
      </c>
      <c r="B2" t="s">
        <v>9</v>
      </c>
      <c r="C2" t="s">
        <v>29</v>
      </c>
      <c r="D2" s="16">
        <v>30105</v>
      </c>
    </row>
    <row r="3" spans="1:4" x14ac:dyDescent="0.25">
      <c r="A3" s="2">
        <v>46054</v>
      </c>
      <c r="B3" t="s">
        <v>9</v>
      </c>
      <c r="C3" t="s">
        <v>27</v>
      </c>
      <c r="D3" s="16">
        <v>5003985.78</v>
      </c>
    </row>
    <row r="4" spans="1:4" x14ac:dyDescent="0.25">
      <c r="A4" s="2">
        <v>46056</v>
      </c>
      <c r="B4" t="s">
        <v>9</v>
      </c>
      <c r="C4" t="s">
        <v>27</v>
      </c>
      <c r="D4" s="16">
        <v>4538677.7300000004</v>
      </c>
    </row>
    <row r="5" spans="1:4" x14ac:dyDescent="0.25">
      <c r="A5" s="2">
        <v>46037</v>
      </c>
      <c r="B5" t="s">
        <v>9</v>
      </c>
      <c r="C5" t="s">
        <v>31</v>
      </c>
      <c r="D5" s="16">
        <v>96009</v>
      </c>
    </row>
    <row r="6" spans="1:4" x14ac:dyDescent="0.25">
      <c r="A6" s="2">
        <v>46073</v>
      </c>
      <c r="B6" t="s">
        <v>9</v>
      </c>
      <c r="C6" t="s">
        <v>30</v>
      </c>
      <c r="D6" s="16">
        <v>857653.31</v>
      </c>
    </row>
    <row r="7" spans="1:4" x14ac:dyDescent="0.25">
      <c r="A7" s="2">
        <v>46046</v>
      </c>
      <c r="B7" t="s">
        <v>9</v>
      </c>
      <c r="C7" t="s">
        <v>28</v>
      </c>
      <c r="D7" s="16">
        <v>34560</v>
      </c>
    </row>
    <row r="8" spans="1:4" x14ac:dyDescent="0.25">
      <c r="A8" s="2">
        <v>46090</v>
      </c>
      <c r="B8" t="s">
        <v>12</v>
      </c>
      <c r="C8" t="s">
        <v>27</v>
      </c>
      <c r="D8" s="16">
        <v>4955527.7300000004</v>
      </c>
    </row>
    <row r="9" spans="1:4" x14ac:dyDescent="0.25">
      <c r="A9" s="2">
        <v>46086</v>
      </c>
      <c r="B9" t="s">
        <v>12</v>
      </c>
      <c r="C9" t="s">
        <v>30</v>
      </c>
      <c r="D9" s="16">
        <v>757419.68</v>
      </c>
    </row>
    <row r="10" spans="1:4" x14ac:dyDescent="0.25">
      <c r="A10" s="2">
        <v>46080</v>
      </c>
      <c r="B10" t="s">
        <v>12</v>
      </c>
      <c r="C10" t="s">
        <v>31</v>
      </c>
      <c r="D10" s="16">
        <v>70631</v>
      </c>
    </row>
    <row r="11" spans="1:4" x14ac:dyDescent="0.25">
      <c r="A11" s="2">
        <v>46077</v>
      </c>
      <c r="B11" t="s">
        <v>12</v>
      </c>
      <c r="C11" t="s">
        <v>31</v>
      </c>
      <c r="D11" s="16">
        <v>144581</v>
      </c>
    </row>
    <row r="12" spans="1:4" x14ac:dyDescent="0.25">
      <c r="A12" s="2">
        <v>46062</v>
      </c>
      <c r="B12" t="s">
        <v>12</v>
      </c>
      <c r="C12" t="s">
        <v>29</v>
      </c>
      <c r="D12" s="16">
        <v>29537</v>
      </c>
    </row>
    <row r="13" spans="1:4" x14ac:dyDescent="0.25">
      <c r="A13" s="2">
        <v>46096</v>
      </c>
      <c r="B13" t="s">
        <v>12</v>
      </c>
      <c r="C13" t="s">
        <v>27</v>
      </c>
      <c r="D13" s="16">
        <v>5032822.82</v>
      </c>
    </row>
    <row r="14" spans="1:4" x14ac:dyDescent="0.25">
      <c r="A14" s="2">
        <v>46104</v>
      </c>
      <c r="B14" t="s">
        <v>14</v>
      </c>
      <c r="C14" t="s">
        <v>27</v>
      </c>
      <c r="D14" s="16">
        <v>2453041.4500000002</v>
      </c>
    </row>
    <row r="15" spans="1:4" x14ac:dyDescent="0.25">
      <c r="A15" s="2">
        <v>46105</v>
      </c>
      <c r="B15" t="s">
        <v>14</v>
      </c>
      <c r="C15" t="s">
        <v>28</v>
      </c>
      <c r="D15" s="16">
        <v>69785</v>
      </c>
    </row>
    <row r="16" spans="1:4" x14ac:dyDescent="0.25">
      <c r="A16" s="2">
        <v>46090</v>
      </c>
      <c r="B16" t="s">
        <v>14</v>
      </c>
      <c r="C16" t="s">
        <v>28</v>
      </c>
      <c r="D16" s="16">
        <v>47902</v>
      </c>
    </row>
    <row r="17" spans="1:4" x14ac:dyDescent="0.25">
      <c r="A17" s="2">
        <v>46099</v>
      </c>
      <c r="B17" t="s">
        <v>14</v>
      </c>
      <c r="C17" t="s">
        <v>29</v>
      </c>
      <c r="D17" s="16">
        <v>13729</v>
      </c>
    </row>
    <row r="18" spans="1:4" x14ac:dyDescent="0.25">
      <c r="A18" s="2">
        <v>46134</v>
      </c>
      <c r="B18" t="s">
        <v>15</v>
      </c>
      <c r="C18" t="s">
        <v>27</v>
      </c>
      <c r="D18" s="16">
        <v>1823378.02</v>
      </c>
    </row>
    <row r="19" spans="1:4" x14ac:dyDescent="0.25">
      <c r="A19" s="2">
        <v>46116</v>
      </c>
      <c r="B19" t="s">
        <v>15</v>
      </c>
      <c r="C19" t="s">
        <v>28</v>
      </c>
      <c r="D19" s="16">
        <v>64533</v>
      </c>
    </row>
    <row r="20" spans="1:4" x14ac:dyDescent="0.25">
      <c r="A20" s="2">
        <v>46135</v>
      </c>
      <c r="B20" t="s">
        <v>15</v>
      </c>
      <c r="C20" t="s">
        <v>27</v>
      </c>
      <c r="D20" s="16">
        <v>1796674.7</v>
      </c>
    </row>
    <row r="21" spans="1:4" x14ac:dyDescent="0.25">
      <c r="A21" s="2">
        <v>46116</v>
      </c>
      <c r="B21" t="s">
        <v>15</v>
      </c>
      <c r="C21" t="s">
        <v>27</v>
      </c>
      <c r="D21" s="16">
        <v>1706072.39</v>
      </c>
    </row>
    <row r="22" spans="1:4" x14ac:dyDescent="0.25">
      <c r="A22" s="2">
        <v>46113</v>
      </c>
      <c r="B22" t="s">
        <v>15</v>
      </c>
      <c r="C22" t="s">
        <v>30</v>
      </c>
      <c r="D22" s="16">
        <v>321736.90000000002</v>
      </c>
    </row>
    <row r="23" spans="1:4" x14ac:dyDescent="0.25">
      <c r="A23" s="2">
        <v>46117</v>
      </c>
      <c r="B23" t="s">
        <v>18</v>
      </c>
      <c r="C23" t="s">
        <v>31</v>
      </c>
      <c r="D23" s="16">
        <v>65726</v>
      </c>
    </row>
    <row r="24" spans="1:4" x14ac:dyDescent="0.25">
      <c r="A24" s="2">
        <v>46144</v>
      </c>
      <c r="B24" t="s">
        <v>18</v>
      </c>
      <c r="C24" t="s">
        <v>28</v>
      </c>
      <c r="D24" s="16">
        <v>78956</v>
      </c>
    </row>
    <row r="25" spans="1:4" x14ac:dyDescent="0.25">
      <c r="A25" s="2">
        <v>46151</v>
      </c>
      <c r="B25" t="s">
        <v>18</v>
      </c>
      <c r="C25" t="s">
        <v>30</v>
      </c>
      <c r="D25" s="16">
        <v>758223.03</v>
      </c>
    </row>
    <row r="26" spans="1:4" x14ac:dyDescent="0.25">
      <c r="A26" s="2">
        <v>46139</v>
      </c>
      <c r="B26" t="s">
        <v>18</v>
      </c>
      <c r="C26" t="s">
        <v>30</v>
      </c>
      <c r="D26" s="16">
        <v>930922.1</v>
      </c>
    </row>
    <row r="27" spans="1:4" x14ac:dyDescent="0.25">
      <c r="A27" s="2">
        <v>46119</v>
      </c>
      <c r="B27" t="s">
        <v>18</v>
      </c>
      <c r="C27" t="s">
        <v>27</v>
      </c>
      <c r="D27" s="16">
        <v>6139190.7699999996</v>
      </c>
    </row>
    <row r="28" spans="1:4" x14ac:dyDescent="0.25">
      <c r="A28" s="2">
        <v>46141</v>
      </c>
      <c r="B28" t="s">
        <v>19</v>
      </c>
      <c r="C28" t="s">
        <v>27</v>
      </c>
      <c r="D28" s="16">
        <v>4573032.01</v>
      </c>
    </row>
    <row r="29" spans="1:4" x14ac:dyDescent="0.25">
      <c r="A29" s="2">
        <v>46164</v>
      </c>
      <c r="B29" t="s">
        <v>19</v>
      </c>
      <c r="C29" t="s">
        <v>31</v>
      </c>
      <c r="D29" s="16">
        <v>125465</v>
      </c>
    </row>
    <row r="30" spans="1:4" x14ac:dyDescent="0.25">
      <c r="A30" s="2">
        <v>46177</v>
      </c>
      <c r="B30" t="s">
        <v>19</v>
      </c>
      <c r="C30" t="s">
        <v>29</v>
      </c>
      <c r="D30" s="16">
        <v>23252</v>
      </c>
    </row>
    <row r="31" spans="1:4" x14ac:dyDescent="0.25">
      <c r="A31" s="2">
        <v>46144</v>
      </c>
      <c r="B31" t="s">
        <v>19</v>
      </c>
      <c r="C31" t="s">
        <v>28</v>
      </c>
      <c r="D31" s="16">
        <v>48973</v>
      </c>
    </row>
    <row r="32" spans="1:4" x14ac:dyDescent="0.25">
      <c r="A32" s="2">
        <v>46157</v>
      </c>
      <c r="B32" t="s">
        <v>19</v>
      </c>
      <c r="C32" t="s">
        <v>28</v>
      </c>
      <c r="D32" s="16">
        <v>31366</v>
      </c>
    </row>
    <row r="33" spans="1:4" x14ac:dyDescent="0.25">
      <c r="A33" s="2">
        <v>46180</v>
      </c>
      <c r="B33" t="s">
        <v>21</v>
      </c>
      <c r="C33" t="s">
        <v>29</v>
      </c>
      <c r="D33" s="16">
        <v>25076</v>
      </c>
    </row>
    <row r="34" spans="1:4" x14ac:dyDescent="0.25">
      <c r="A34" s="2">
        <v>46163</v>
      </c>
      <c r="B34" t="s">
        <v>21</v>
      </c>
      <c r="C34" t="s">
        <v>27</v>
      </c>
      <c r="D34" s="16">
        <v>1493397.19</v>
      </c>
    </row>
    <row r="35" spans="1:4" x14ac:dyDescent="0.25">
      <c r="A35" s="2">
        <v>46182</v>
      </c>
      <c r="B35" t="s">
        <v>21</v>
      </c>
      <c r="C35" t="s">
        <v>30</v>
      </c>
      <c r="D35" s="16">
        <v>217182.91</v>
      </c>
    </row>
    <row r="36" spans="1:4" x14ac:dyDescent="0.25">
      <c r="A36" s="2">
        <v>46182</v>
      </c>
      <c r="B36" t="s">
        <v>21</v>
      </c>
      <c r="C36" t="s">
        <v>29</v>
      </c>
      <c r="D36" s="16">
        <v>12577</v>
      </c>
    </row>
    <row r="37" spans="1:4" x14ac:dyDescent="0.25">
      <c r="A37" s="2">
        <v>46198</v>
      </c>
      <c r="B37" t="s">
        <v>22</v>
      </c>
      <c r="C37" t="s">
        <v>31</v>
      </c>
      <c r="D37" s="16">
        <v>79041</v>
      </c>
    </row>
    <row r="38" spans="1:4" x14ac:dyDescent="0.25">
      <c r="A38" s="2">
        <v>46217</v>
      </c>
      <c r="B38" t="s">
        <v>22</v>
      </c>
      <c r="C38" t="s">
        <v>30</v>
      </c>
      <c r="D38" s="16">
        <v>307709.25</v>
      </c>
    </row>
    <row r="39" spans="1:4" x14ac:dyDescent="0.25">
      <c r="A39" s="2">
        <v>46189</v>
      </c>
      <c r="B39" t="s">
        <v>22</v>
      </c>
      <c r="C39" t="s">
        <v>27</v>
      </c>
      <c r="D39" s="16">
        <v>2653122.1800000002</v>
      </c>
    </row>
    <row r="40" spans="1:4" x14ac:dyDescent="0.25">
      <c r="A40" s="2">
        <v>46186</v>
      </c>
      <c r="B40" t="s">
        <v>22</v>
      </c>
      <c r="C40" t="s">
        <v>31</v>
      </c>
      <c r="D40" s="16">
        <v>96019</v>
      </c>
    </row>
    <row r="41" spans="1:4" x14ac:dyDescent="0.25">
      <c r="A41" s="2">
        <v>46193</v>
      </c>
      <c r="B41" t="s">
        <v>22</v>
      </c>
      <c r="C41" t="s">
        <v>30</v>
      </c>
      <c r="D41" s="16">
        <v>312867.44</v>
      </c>
    </row>
    <row r="42" spans="1:4" x14ac:dyDescent="0.25">
      <c r="A42" s="2">
        <v>46201</v>
      </c>
      <c r="B42" t="s">
        <v>23</v>
      </c>
      <c r="C42" t="s">
        <v>30</v>
      </c>
      <c r="D42" s="16">
        <v>232945.81</v>
      </c>
    </row>
    <row r="43" spans="1:4" x14ac:dyDescent="0.25">
      <c r="A43" s="2">
        <v>46237</v>
      </c>
      <c r="B43" t="s">
        <v>23</v>
      </c>
      <c r="C43" t="s">
        <v>30</v>
      </c>
      <c r="D43" s="16">
        <v>271603.17</v>
      </c>
    </row>
    <row r="44" spans="1:4" x14ac:dyDescent="0.25">
      <c r="A44" s="2">
        <v>46233</v>
      </c>
      <c r="B44" t="s">
        <v>23</v>
      </c>
      <c r="C44" t="s">
        <v>28</v>
      </c>
      <c r="D44" s="16">
        <v>60405</v>
      </c>
    </row>
    <row r="45" spans="1:4" x14ac:dyDescent="0.25">
      <c r="A45" s="2">
        <v>46233</v>
      </c>
      <c r="B45" t="s">
        <v>23</v>
      </c>
      <c r="C45" t="s">
        <v>29</v>
      </c>
      <c r="D45" s="16">
        <v>24709</v>
      </c>
    </row>
    <row r="46" spans="1:4" x14ac:dyDescent="0.25">
      <c r="A46" s="2">
        <v>46257</v>
      </c>
      <c r="B46" t="s">
        <v>24</v>
      </c>
      <c r="C46" t="s">
        <v>29</v>
      </c>
      <c r="D46" s="16">
        <v>20590</v>
      </c>
    </row>
    <row r="47" spans="1:4" x14ac:dyDescent="0.25">
      <c r="A47" s="2">
        <v>46245</v>
      </c>
      <c r="B47" t="s">
        <v>24</v>
      </c>
      <c r="C47" t="s">
        <v>31</v>
      </c>
      <c r="D47" s="16">
        <v>69786</v>
      </c>
    </row>
    <row r="48" spans="1:4" x14ac:dyDescent="0.25">
      <c r="A48" s="2">
        <v>46257</v>
      </c>
      <c r="B48" t="s">
        <v>24</v>
      </c>
      <c r="C48" t="s">
        <v>27</v>
      </c>
      <c r="D48" s="16">
        <v>5271539.3099999996</v>
      </c>
    </row>
    <row r="49" spans="1:4" x14ac:dyDescent="0.25">
      <c r="A49" s="2">
        <v>46254</v>
      </c>
      <c r="B49" t="s">
        <v>24</v>
      </c>
      <c r="C49" t="s">
        <v>31</v>
      </c>
      <c r="D49" s="16">
        <v>86002</v>
      </c>
    </row>
    <row r="50" spans="1:4" x14ac:dyDescent="0.25">
      <c r="A50" s="2">
        <v>46221</v>
      </c>
      <c r="B50" t="s">
        <v>24</v>
      </c>
      <c r="C50" t="s">
        <v>27</v>
      </c>
      <c r="D50" s="16">
        <v>5133551.05</v>
      </c>
    </row>
    <row r="51" spans="1:4" x14ac:dyDescent="0.25">
      <c r="A51" s="2">
        <v>46245</v>
      </c>
      <c r="B51" t="s">
        <v>24</v>
      </c>
      <c r="C51" t="s">
        <v>31</v>
      </c>
      <c r="D51" s="16">
        <v>110521</v>
      </c>
    </row>
    <row r="52" spans="1:4" x14ac:dyDescent="0.25">
      <c r="A52" s="2">
        <v>46255</v>
      </c>
      <c r="B52" t="s">
        <v>25</v>
      </c>
      <c r="C52" t="s">
        <v>27</v>
      </c>
      <c r="D52" s="16">
        <v>4235927.9800000004</v>
      </c>
    </row>
    <row r="53" spans="1:4" x14ac:dyDescent="0.25">
      <c r="A53" s="2">
        <v>46242</v>
      </c>
      <c r="B53" t="s">
        <v>25</v>
      </c>
      <c r="C53" t="s">
        <v>27</v>
      </c>
      <c r="D53" s="16">
        <v>4503468.6100000003</v>
      </c>
    </row>
    <row r="54" spans="1:4" x14ac:dyDescent="0.25">
      <c r="A54" s="2">
        <v>46269</v>
      </c>
      <c r="B54" t="s">
        <v>25</v>
      </c>
      <c r="C54" t="s">
        <v>29</v>
      </c>
      <c r="D54" s="16">
        <v>29466</v>
      </c>
    </row>
    <row r="55" spans="1:4" x14ac:dyDescent="0.25">
      <c r="A55" s="2">
        <v>46274</v>
      </c>
      <c r="B55" t="s">
        <v>25</v>
      </c>
      <c r="C55" t="s">
        <v>28</v>
      </c>
      <c r="D55" s="16">
        <v>60324</v>
      </c>
    </row>
    <row r="56" spans="1:4" x14ac:dyDescent="0.25">
      <c r="A56" s="2">
        <v>46293</v>
      </c>
      <c r="B56" t="s">
        <v>26</v>
      </c>
      <c r="C56" t="s">
        <v>27</v>
      </c>
      <c r="D56" s="16">
        <v>3789838.2</v>
      </c>
    </row>
    <row r="57" spans="1:4" x14ac:dyDescent="0.25">
      <c r="A57" s="2">
        <v>46287</v>
      </c>
      <c r="B57" t="s">
        <v>26</v>
      </c>
      <c r="C57" t="s">
        <v>30</v>
      </c>
      <c r="D57" s="16">
        <v>517131.45</v>
      </c>
    </row>
    <row r="58" spans="1:4" x14ac:dyDescent="0.25">
      <c r="A58" s="2">
        <v>46260</v>
      </c>
      <c r="B58" t="s">
        <v>26</v>
      </c>
      <c r="C58" t="s">
        <v>29</v>
      </c>
      <c r="D58" s="16">
        <v>14943</v>
      </c>
    </row>
    <row r="59" spans="1:4" x14ac:dyDescent="0.25">
      <c r="A59" s="2">
        <v>46278</v>
      </c>
      <c r="B59" t="s">
        <v>26</v>
      </c>
      <c r="C59" t="s">
        <v>28</v>
      </c>
      <c r="D59" s="16">
        <v>36783</v>
      </c>
    </row>
    <row r="60" spans="1:4" x14ac:dyDescent="0.25">
      <c r="A60" s="2">
        <v>46268</v>
      </c>
      <c r="B60" t="s">
        <v>26</v>
      </c>
      <c r="C60" t="s">
        <v>27</v>
      </c>
      <c r="D60" s="16">
        <v>3836524.38</v>
      </c>
    </row>
    <row r="61" spans="1:4" x14ac:dyDescent="0.25">
      <c r="A61" s="2">
        <v>46285</v>
      </c>
      <c r="B61" t="s">
        <v>26</v>
      </c>
      <c r="C61" t="s">
        <v>27</v>
      </c>
      <c r="D61" s="16">
        <v>3617803.33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batch_scorecard</vt:lpstr>
      <vt:lpstr>cost_breakdown</vt:lpstr>
      <vt:lpstr>financials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Dabby</dc:creator>
  <cp:lastModifiedBy>USER</cp:lastModifiedBy>
  <dcterms:created xsi:type="dcterms:W3CDTF">2026-09-18T21:30:10Z</dcterms:created>
  <dcterms:modified xsi:type="dcterms:W3CDTF">2026-09-19T11:16:29Z</dcterms:modified>
</cp:coreProperties>
</file>